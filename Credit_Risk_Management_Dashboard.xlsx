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ble 1 - Demographics" sheetId="2" state="visible" r:id="rId4"/>
    <sheet name="Table 2 - Descriptive Stats" sheetId="3" state="visible" r:id="rId5"/>
    <sheet name="Table 3 - Correlation" sheetId="4" state="visible" r:id="rId6"/>
    <sheet name="Table 4 - Regression Stats" sheetId="5" state="visible" r:id="rId7"/>
    <sheet name="Table 5 - Coeffici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<sst xmlns="http://schemas.openxmlformats.org/spreadsheetml/2006/main" count="88" uniqueCount="69">
  <si>
    <t xml:space="preserve">Credit Risk Management — Finnable Credit Pvt Ltd (NBFC)</t>
  </si>
  <si>
    <t xml:space="preserve">MBA Capstone Project — Kondeti Surendra Babu | Sample: 73 borrowers | Published: J. Adv. Res. Oper. Markt. Mgmt. 2026;9(2):69-78</t>
  </si>
  <si>
    <t xml:space="preserve">Income–Repayment
Correlation (r)</t>
  </si>
  <si>
    <t xml:space="preserve">Regression Fit
(R²)</t>
  </si>
  <si>
    <t xml:space="preserve">Never Missed
an EMI</t>
  </si>
  <si>
    <t xml:space="preserve">Avg. Repayment
Behaviour Score</t>
  </si>
  <si>
    <t xml:space="preserve">Key Findings</t>
  </si>
  <si>
    <t xml:space="preserve">• Strong positive relationship between monthly income and EMI repayment behaviour (Pearson r = 0.891, p &lt; 0.05).</t>
  </si>
  <si>
    <t xml:space="preserve">• Regression model explains 93.1% of variation in repayment behaviour (R² = 0.931, Adj. R² = 0.927).</t>
  </si>
  <si>
    <t xml:space="preserve">• Customer Satisfaction (β = 0.421, p &lt; 0.001) and Loan Process Transparency (β = 0.665, p &lt; 0.001) are the strongest significant predictors.</t>
  </si>
  <si>
    <t xml:space="preserve">• EMI Affordability (p = 0.736) and Repayment Behaviour (p = 0.975) were not statistically significant predictors in the regression model.</t>
  </si>
  <si>
    <t xml:space="preserve">• 76.7% of respondents had never missed an EMI payment; majority rated the loan process as transparent.</t>
  </si>
  <si>
    <t xml:space="preserve">Note: values re-entered from the published paper's tables (original Excel workbook no longer available). See Table 1-5 sheets for full data.</t>
  </si>
  <si>
    <t xml:space="preserve">Table 1. Demographic Profile of Respondents (N = 73)</t>
  </si>
  <si>
    <t xml:space="preserve">Characteristic</t>
  </si>
  <si>
    <t xml:space="preserve">Category</t>
  </si>
  <si>
    <t xml:space="preserve">Frequency</t>
  </si>
  <si>
    <t xml:space="preserve">Percentage</t>
  </si>
  <si>
    <t xml:space="preserve">Gender</t>
  </si>
  <si>
    <t xml:space="preserve">Male</t>
  </si>
  <si>
    <t xml:space="preserve">Female</t>
  </si>
  <si>
    <t xml:space="preserve">Age</t>
  </si>
  <si>
    <t xml:space="preserve">Below 25 Years</t>
  </si>
  <si>
    <t xml:space="preserve">26–35 Years</t>
  </si>
  <si>
    <t xml:space="preserve">36–45 Years</t>
  </si>
  <si>
    <t xml:space="preserve">Above 45 Years</t>
  </si>
  <si>
    <t xml:space="preserve">Educational Qualification</t>
  </si>
  <si>
    <t xml:space="preserve">Intermediate</t>
  </si>
  <si>
    <t xml:space="preserve">Graduate</t>
  </si>
  <si>
    <t xml:space="preserve">Postgraduate</t>
  </si>
  <si>
    <t xml:space="preserve">Occupation</t>
  </si>
  <si>
    <t xml:space="preserve">Salaried Employee</t>
  </si>
  <si>
    <t xml:space="preserve">Self-Employed</t>
  </si>
  <si>
    <t xml:space="preserve">Business Owner</t>
  </si>
  <si>
    <t xml:space="preserve">Monthly Income</t>
  </si>
  <si>
    <t xml:space="preserve">Below ₹25,000</t>
  </si>
  <si>
    <t xml:space="preserve">₹25,001–₹50,000</t>
  </si>
  <si>
    <t xml:space="preserve">₹50,001–₹75,000</t>
  </si>
  <si>
    <t xml:space="preserve">Above ₹75,000</t>
  </si>
  <si>
    <t xml:space="preserve">Table 2. Descriptive Statistics for Key Variables</t>
  </si>
  <si>
    <t xml:space="preserve">Variable</t>
  </si>
  <si>
    <t xml:space="preserve">N</t>
  </si>
  <si>
    <t xml:space="preserve">Minimum</t>
  </si>
  <si>
    <t xml:space="preserve">Maximum</t>
  </si>
  <si>
    <t xml:space="preserve">Mean</t>
  </si>
  <si>
    <t xml:space="preserve">Standard Deviation</t>
  </si>
  <si>
    <t xml:space="preserve">Customer Satisfaction</t>
  </si>
  <si>
    <t xml:space="preserve">Loan Process Transparency</t>
  </si>
  <si>
    <t xml:space="preserve">EMI Affordability</t>
  </si>
  <si>
    <t xml:space="preserve">Repayment Behaviour</t>
  </si>
  <si>
    <t xml:space="preserve">Table 3. Pearson Correlation between Monthly Income and Missed EMIs</t>
  </si>
  <si>
    <t xml:space="preserve">Missed EMIs</t>
  </si>
  <si>
    <t xml:space="preserve">–</t>
  </si>
  <si>
    <t xml:space="preserve">Correlation is statistically significant (p &lt; 0.05), n = 73.</t>
  </si>
  <si>
    <t xml:space="preserve">Table 4. Regression Statistics</t>
  </si>
  <si>
    <t xml:space="preserve">Regression Statistics</t>
  </si>
  <si>
    <t xml:space="preserve">Value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</si>
  <si>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</si>
  <si>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</si>
  <si>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</si>
  <si>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</si>
  <si>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</si>
  <si>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Table 5. Regression Coefficients</t>
  </si>
  <si>
    <t xml:space="preserve">Model</t>
  </si>
  <si>
    <t xml:space="preserve">Coefficient (B)</t>
  </si>
  <si>
    <t xml:space="preserve">Std. Error</t>
  </si>
  <si>
    <t xml:space="preserve">t-Statistic</t>
  </si>
  <si>
    <t xml:space="preserve">p-value</t>
  </si>
  <si>
    <t xml:space="preserve">Constant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</si>
</sst>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%"/>
    <numFmt numFmtId="167" formatCode="0.00"/>
    <numFmt numFmtId="168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88888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Income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 1 - Demographics'!$B$16:$B$19</c:f>
              <c:strCache>
                <c:ptCount val="4"/>
                <c:pt idx="0">
                  <c:v>Below ₹25,000</c:v>
                </c:pt>
                <c:pt idx="1">
                  <c:v>₹25,001–₹50,000</c:v>
                </c:pt>
                <c:pt idx="2">
                  <c:v>₹50,001–₹75,000</c:v>
                </c:pt>
                <c:pt idx="3">
                  <c:v>Above ₹75,000</c:v>
                </c:pt>
              </c:strCache>
            </c:strRef>
          </c:cat>
          <c:val>
            <c:numRef>
              <c:f>'Table 1 - Demographics'!$C$16:$C$19</c:f>
              <c:numCache>
                <c:formatCode>General</c:formatCode>
                <c:ptCount val="4"/>
                <c:pt idx="0">
                  <c:v>4</c:v>
                </c:pt>
                <c:pt idx="1">
                  <c:v>23</c:v>
                </c:pt>
                <c:pt idx="2">
                  <c:v>37</c:v>
                </c:pt>
                <c:pt idx="3">
                  <c:v>9</c:v>
                </c:pt>
              </c:numCache>
            </c:numRef>
          </c:val>
        </c:ser>
        <c:gapWidth val="150"/>
        <c:overlap val="0"/>
        <c:axId val="29040877"/>
        <c:axId val="41240110"/>
      </c:barChart>
      <c:catAx>
        <c:axId val="29040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40110"/>
        <c:crosses val="autoZero"/>
        <c:auto val="1"/>
        <c:lblAlgn val="ctr"/>
        <c:lblOffset val="100"/>
        <c:noMultiLvlLbl val="0"/>
      </c:catAx>
      <c:valAx>
        <c:axId val="41240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40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Occupation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 1 - Demographics'!$B$13:$B$15</c:f>
              <c:strCache>
                <c:ptCount val="3"/>
                <c:pt idx="0">
                  <c:v>Salaried Employee</c:v>
                </c:pt>
                <c:pt idx="1">
                  <c:v>Self-Employed</c:v>
                </c:pt>
                <c:pt idx="2">
                  <c:v>Business Owner</c:v>
                </c:pt>
              </c:strCache>
            </c:strRef>
          </c:cat>
          <c:val>
            <c:numRef>
              <c:f>'Table 1 - Demographics'!$C$13:$C$15</c:f>
              <c:numCache>
                <c:formatCode>General</c:formatCode>
                <c:ptCount val="3"/>
                <c:pt idx="0">
                  <c:v>21</c:v>
                </c:pt>
                <c:pt idx="1">
                  <c:v>48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47481736"/>
        <c:axId val="77957800"/>
      </c:barChart>
      <c:catAx>
        <c:axId val="4748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57800"/>
        <c:crosses val="autoZero"/>
        <c:auto val="1"/>
        <c:lblAlgn val="ctr"/>
        <c:lblOffset val="100"/>
        <c:noMultiLvlLbl val="0"/>
      </c:catAx>
      <c:valAx>
        <c:axId val="77957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817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Scores by Variable (out of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 2 - Descriptive Stats'!$A$4:$A$7</c:f>
              <c:strCache>
                <c:ptCount val="4"/>
                <c:pt idx="0">
                  <c:v>Customer Satisfaction</c:v>
                </c:pt>
                <c:pt idx="1">
                  <c:v>Loan Process Transparency</c:v>
                </c:pt>
                <c:pt idx="2">
                  <c:v>EMI Affordability</c:v>
                </c:pt>
                <c:pt idx="3">
                  <c:v>Repayment Behaviour</c:v>
                </c:pt>
              </c:strCache>
            </c:strRef>
          </c:cat>
          <c:val>
            <c:numRef>
              <c:f>'Table 2 - Descriptive Stats'!$E$4:$E$7</c:f>
              <c:numCache>
                <c:formatCode>0.00</c:formatCode>
                <c:ptCount val="4"/>
                <c:pt idx="0">
                  <c:v>4.19</c:v>
                </c:pt>
                <c:pt idx="1">
                  <c:v>4.28</c:v>
                </c:pt>
                <c:pt idx="2">
                  <c:v>4.12</c:v>
                </c:pt>
                <c:pt idx="3">
                  <c:v>4.31</c:v>
                </c:pt>
              </c:numCache>
            </c:numRef>
          </c:val>
        </c:ser>
        <c:gapWidth val="150"/>
        <c:overlap val="0"/>
        <c:axId val="77410336"/>
        <c:axId val="49197576"/>
      </c:barChart>
      <c:catAx>
        <c:axId val="774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97576"/>
        <c:crosses val="autoZero"/>
        <c:auto val="1"/>
        <c:lblAlgn val="ctr"/>
        <c:lblOffset val="100"/>
        <c:noMultiLvlLbl val="0"/>
      </c:catAx>
      <c:valAx>
        <c:axId val="49197576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103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Regression Model 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 4 - Regression Stats'!$A$4:$A$6</c:f>
              <c:strCache>
                <c:ptCount val="3"/>
                <c:pt idx="0">
                  <c:v>Multiple R</c:v>
                </c:pt>
                <c:pt idx="1">
                  <c:v>R Square</c:v>
                </c:pt>
                <c:pt idx="2">
                  <c:v>Adjusted R Square</c:v>
                </c:pt>
              </c:strCache>
            </c:strRef>
          </c:cat>
          <c:val>
            <c:numRef>
              <c:f>'Table 4 - Regression Stats'!$B$4:$B$6</c:f>
              <c:numCache>
                <c:formatCode>0.0000</c:formatCode>
                <c:ptCount val="3"/>
                <c:pt idx="0">
                  <c:v>0.9649</c:v>
                </c:pt>
                <c:pt idx="1">
                  <c:v>0.931</c:v>
                </c:pt>
                <c:pt idx="2">
                  <c:v>0.9269</c:v>
                </c:pt>
              </c:numCache>
            </c:numRef>
          </c:val>
        </c:ser>
        <c:gapWidth val="150"/>
        <c:overlap val="0"/>
        <c:axId val="87300238"/>
        <c:axId val="95536226"/>
      </c:barChart>
      <c:catAx>
        <c:axId val="87300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36226"/>
        <c:crosses val="autoZero"/>
        <c:auto val="1"/>
        <c:lblAlgn val="ctr"/>
        <c:lblOffset val="100"/>
        <c:noMultiLvlLbl val="0"/>
      </c:catAx>
      <c:valAx>
        <c:axId val="95536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002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Regression Coefficients (B)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 5 - Coefficients'!$A$4:$A$8</c:f>
              <c:strCache>
                <c:ptCount val="5"/>
                <c:pt idx="0">
                  <c:v>Constant</c:v>
                </c:pt>
                <c:pt idx="1">
                  <c:v>Customer Satisfaction</c:v>
                </c:pt>
                <c:pt idx="2">
                  <c:v>Loan Process Transparency</c:v>
                </c:pt>
                <c:pt idx="3">
                  <c:v>EMI Affordability</c:v>
                </c:pt>
                <c:pt idx="4">
                  <c:v>Repayment Behaviour</c:v>
                </c:pt>
              </c:strCache>
            </c:strRef>
          </c:cat>
          <c:val>
            <c:numRef>
              <c:f>'Table 5 - Coefficients'!$B$4:$B$8</c:f>
              <c:numCache>
                <c:formatCode>0.000</c:formatCode>
                <c:ptCount val="5"/>
                <c:pt idx="0">
                  <c:v>-0.542</c:v>
                </c:pt>
                <c:pt idx="1">
                  <c:v>0.421</c:v>
                </c:pt>
                <c:pt idx="2">
                  <c:v>0.665</c:v>
                </c:pt>
                <c:pt idx="3">
                  <c:v>0.017</c:v>
                </c:pt>
                <c:pt idx="4">
                  <c:v>0.002</c:v>
                </c:pt>
              </c:numCache>
            </c:numRef>
          </c:val>
        </c:ser>
        <c:gapWidth val="150"/>
        <c:overlap val="0"/>
        <c:axId val="69126230"/>
        <c:axId val="73842565"/>
      </c:barChart>
      <c:catAx>
        <c:axId val="691262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42565"/>
        <c:crosses val="autoZero"/>
        <c:auto val="1"/>
        <c:lblAlgn val="ctr"/>
        <c:lblOffset val="100"/>
        <c:noMultiLvlLbl val="0"/>
      </c:catAx>
      <c:valAx>
        <c:axId val="73842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262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147600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568656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13</xdr:col>
      <xdr:colOff>147600</xdr:colOff>
      <xdr:row>34</xdr:row>
      <xdr:rowOff>21960</xdr:rowOff>
    </xdr:to>
    <xdr:graphicFrame>
      <xdr:nvGraphicFramePr>
        <xdr:cNvPr id="1" name="Chart 2"/>
        <xdr:cNvGraphicFramePr/>
      </xdr:nvGraphicFramePr>
      <xdr:xfrm>
        <a:off x="568656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5</xdr:col>
      <xdr:colOff>1248480</xdr:colOff>
      <xdr:row>26</xdr:row>
      <xdr:rowOff>1440</xdr:rowOff>
    </xdr:to>
    <xdr:graphicFrame>
      <xdr:nvGraphicFramePr>
        <xdr:cNvPr id="2" name="Chart 1"/>
        <xdr:cNvGraphicFramePr/>
      </xdr:nvGraphicFramePr>
      <xdr:xfrm>
        <a:off x="0" y="1714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11</xdr:col>
      <xdr:colOff>147600</xdr:colOff>
      <xdr:row>17</xdr:row>
      <xdr:rowOff>21960</xdr:rowOff>
    </xdr:to>
    <xdr:graphicFrame>
      <xdr:nvGraphicFramePr>
        <xdr:cNvPr id="3" name="Chart 1"/>
        <xdr:cNvGraphicFramePr/>
      </xdr:nvGraphicFramePr>
      <xdr:xfrm>
        <a:off x="300816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120960</xdr:colOff>
      <xdr:row>27</xdr:row>
      <xdr:rowOff>1080</xdr:rowOff>
    </xdr:to>
    <xdr:graphicFrame>
      <xdr:nvGraphicFramePr>
        <xdr:cNvPr id="4" name="Chart 1"/>
        <xdr:cNvGraphicFramePr/>
      </xdr:nvGraphicFramePr>
      <xdr:xfrm>
        <a:off x="0" y="190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2"/>
    <col collapsed="false" customWidth="true" hidden="false" outlineLevel="0" max="7" min="7" style="0" width="3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23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30" hidden="false" customHeight="true" outlineLevel="0" collapsed="false">
      <c r="B6" s="4" t="n">
        <v>0.891</v>
      </c>
      <c r="C6" s="5" t="n">
        <v>0.931</v>
      </c>
      <c r="D6" s="5" t="n">
        <v>0.767</v>
      </c>
      <c r="E6" s="6" t="n">
        <v>4.31</v>
      </c>
    </row>
    <row r="9" customFormat="false" ht="15" hidden="false" customHeight="false" outlineLevel="0" collapsed="false">
      <c r="B9" s="7" t="s">
        <v>6</v>
      </c>
    </row>
    <row r="10" customFormat="false" ht="15" hidden="false" customHeight="true" outlineLevel="0" collapsed="false">
      <c r="B10" s="8" t="s">
        <v>7</v>
      </c>
      <c r="C10" s="8"/>
      <c r="D10" s="8"/>
      <c r="E10" s="8"/>
      <c r="F10" s="8"/>
    </row>
    <row r="11" customFormat="false" ht="15" hidden="false" customHeight="true" outlineLevel="0" collapsed="false">
      <c r="B11" s="8" t="s">
        <v>8</v>
      </c>
      <c r="C11" s="8"/>
      <c r="D11" s="8"/>
      <c r="E11" s="8"/>
      <c r="F11" s="8"/>
    </row>
    <row r="12" customFormat="false" ht="15" hidden="false" customHeight="true" outlineLevel="0" collapsed="false">
      <c r="B12" s="8" t="s">
        <v>9</v>
      </c>
      <c r="C12" s="8"/>
      <c r="D12" s="8"/>
      <c r="E12" s="8"/>
      <c r="F12" s="8"/>
    </row>
    <row r="13" customFormat="false" ht="15" hidden="false" customHeight="true" outlineLevel="0" collapsed="false">
      <c r="B13" s="8" t="s">
        <v>10</v>
      </c>
      <c r="C13" s="8"/>
      <c r="D13" s="8"/>
      <c r="E13" s="8"/>
      <c r="F13" s="8"/>
    </row>
    <row r="14" customFormat="false" ht="15" hidden="false" customHeight="true" outlineLevel="0" collapsed="false">
      <c r="B14" s="8" t="s">
        <v>11</v>
      </c>
      <c r="C14" s="8"/>
      <c r="D14" s="8"/>
      <c r="E14" s="8"/>
      <c r="F14" s="8"/>
    </row>
    <row r="16" customFormat="false" ht="15" hidden="false" customHeight="false" outlineLevel="0" collapsed="false">
      <c r="B16" s="9" t="s">
        <v>12</v>
      </c>
    </row>
  </sheetData>
  <mergeCells count="7">
    <mergeCell ref="B2:F2"/>
    <mergeCell ref="B3:F3"/>
    <mergeCell ref="B10:F10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0" t="s">
        <v>13</v>
      </c>
      <c r="B1" s="10"/>
      <c r="C1" s="10"/>
      <c r="D1" s="10"/>
    </row>
    <row r="3" customFormat="false" ht="15" hidden="false" customHeight="false" outlineLevel="0" collapsed="false">
      <c r="A3" s="11" t="s">
        <v>14</v>
      </c>
      <c r="B3" s="11" t="s">
        <v>15</v>
      </c>
      <c r="C3" s="11" t="s">
        <v>16</v>
      </c>
      <c r="D3" s="11" t="s">
        <v>17</v>
      </c>
    </row>
    <row r="4" customFormat="false" ht="15" hidden="false" customHeight="false" outlineLevel="0" collapsed="false">
      <c r="A4" s="12" t="s">
        <v>18</v>
      </c>
      <c r="B4" s="12" t="s">
        <v>19</v>
      </c>
      <c r="C4" s="12" t="n">
        <v>65</v>
      </c>
      <c r="D4" s="13" t="n">
        <f aca="false">C4/73</f>
        <v>0.89041095890411</v>
      </c>
    </row>
    <row r="5" customFormat="false" ht="15" hidden="false" customHeight="false" outlineLevel="0" collapsed="false">
      <c r="A5" s="12" t="s">
        <v>18</v>
      </c>
      <c r="B5" s="12" t="s">
        <v>20</v>
      </c>
      <c r="C5" s="12" t="n">
        <v>8</v>
      </c>
      <c r="D5" s="13" t="n">
        <f aca="false">C5/73</f>
        <v>0.10958904109589</v>
      </c>
    </row>
    <row r="6" customFormat="false" ht="15" hidden="false" customHeight="false" outlineLevel="0" collapsed="false">
      <c r="A6" s="12" t="s">
        <v>21</v>
      </c>
      <c r="B6" s="12" t="s">
        <v>22</v>
      </c>
      <c r="C6" s="12" t="n">
        <v>10</v>
      </c>
      <c r="D6" s="13" t="n">
        <f aca="false">C6/73</f>
        <v>0.136986301369863</v>
      </c>
    </row>
    <row r="7" customFormat="false" ht="15" hidden="false" customHeight="false" outlineLevel="0" collapsed="false">
      <c r="A7" s="12" t="s">
        <v>21</v>
      </c>
      <c r="B7" s="12" t="s">
        <v>23</v>
      </c>
      <c r="C7" s="12" t="n">
        <v>40</v>
      </c>
      <c r="D7" s="13" t="n">
        <f aca="false">C7/73</f>
        <v>0.547945205479452</v>
      </c>
    </row>
    <row r="8" customFormat="false" ht="15" hidden="false" customHeight="false" outlineLevel="0" collapsed="false">
      <c r="A8" s="12" t="s">
        <v>21</v>
      </c>
      <c r="B8" s="12" t="s">
        <v>24</v>
      </c>
      <c r="C8" s="12" t="n">
        <v>18</v>
      </c>
      <c r="D8" s="13" t="n">
        <f aca="false">C8/73</f>
        <v>0.246575342465753</v>
      </c>
    </row>
    <row r="9" customFormat="false" ht="15" hidden="false" customHeight="false" outlineLevel="0" collapsed="false">
      <c r="A9" s="12" t="s">
        <v>21</v>
      </c>
      <c r="B9" s="12" t="s">
        <v>25</v>
      </c>
      <c r="C9" s="12" t="n">
        <v>5</v>
      </c>
      <c r="D9" s="13" t="n">
        <f aca="false">C9/73</f>
        <v>0.0684931506849315</v>
      </c>
    </row>
    <row r="10" customFormat="false" ht="15" hidden="false" customHeight="false" outlineLevel="0" collapsed="false">
      <c r="A10" s="12" t="s">
        <v>26</v>
      </c>
      <c r="B10" s="12" t="s">
        <v>27</v>
      </c>
      <c r="C10" s="12" t="n">
        <v>4</v>
      </c>
      <c r="D10" s="13" t="n">
        <f aca="false">C10/73</f>
        <v>0.0547945205479452</v>
      </c>
    </row>
    <row r="11" customFormat="false" ht="15" hidden="false" customHeight="false" outlineLevel="0" collapsed="false">
      <c r="A11" s="12" t="s">
        <v>26</v>
      </c>
      <c r="B11" s="12" t="s">
        <v>28</v>
      </c>
      <c r="C11" s="12" t="n">
        <v>53</v>
      </c>
      <c r="D11" s="13" t="n">
        <f aca="false">C11/73</f>
        <v>0.726027397260274</v>
      </c>
    </row>
    <row r="12" customFormat="false" ht="15" hidden="false" customHeight="false" outlineLevel="0" collapsed="false">
      <c r="A12" s="12" t="s">
        <v>26</v>
      </c>
      <c r="B12" s="12" t="s">
        <v>29</v>
      </c>
      <c r="C12" s="12" t="n">
        <v>16</v>
      </c>
      <c r="D12" s="13" t="n">
        <f aca="false">C12/73</f>
        <v>0.219178082191781</v>
      </c>
    </row>
    <row r="13" customFormat="false" ht="15" hidden="false" customHeight="false" outlineLevel="0" collapsed="false">
      <c r="A13" s="12" t="s">
        <v>30</v>
      </c>
      <c r="B13" s="12" t="s">
        <v>31</v>
      </c>
      <c r="C13" s="12" t="n">
        <v>21</v>
      </c>
      <c r="D13" s="13" t="n">
        <f aca="false">C13/73</f>
        <v>0.287671232876712</v>
      </c>
    </row>
    <row r="14" customFormat="false" ht="15" hidden="false" customHeight="false" outlineLevel="0" collapsed="false">
      <c r="A14" s="12" t="s">
        <v>30</v>
      </c>
      <c r="B14" s="12" t="s">
        <v>32</v>
      </c>
      <c r="C14" s="12" t="n">
        <v>48</v>
      </c>
      <c r="D14" s="13" t="n">
        <f aca="false">C14/73</f>
        <v>0.657534246575342</v>
      </c>
    </row>
    <row r="15" customFormat="false" ht="15" hidden="false" customHeight="false" outlineLevel="0" collapsed="false">
      <c r="A15" s="12" t="s">
        <v>30</v>
      </c>
      <c r="B15" s="12" t="s">
        <v>33</v>
      </c>
      <c r="C15" s="12" t="n">
        <v>4</v>
      </c>
      <c r="D15" s="13" t="n">
        <f aca="false">C15/73</f>
        <v>0.0547945205479452</v>
      </c>
    </row>
    <row r="16" customFormat="false" ht="15" hidden="false" customHeight="false" outlineLevel="0" collapsed="false">
      <c r="A16" s="12" t="s">
        <v>34</v>
      </c>
      <c r="B16" s="12" t="s">
        <v>35</v>
      </c>
      <c r="C16" s="12" t="n">
        <v>4</v>
      </c>
      <c r="D16" s="13" t="n">
        <f aca="false">C16/73</f>
        <v>0.0547945205479452</v>
      </c>
    </row>
    <row r="17" customFormat="false" ht="15" hidden="false" customHeight="false" outlineLevel="0" collapsed="false">
      <c r="A17" s="12" t="s">
        <v>34</v>
      </c>
      <c r="B17" s="12" t="s">
        <v>36</v>
      </c>
      <c r="C17" s="12" t="n">
        <v>23</v>
      </c>
      <c r="D17" s="13" t="n">
        <f aca="false">C17/73</f>
        <v>0.315068493150685</v>
      </c>
    </row>
    <row r="18" customFormat="false" ht="15" hidden="false" customHeight="false" outlineLevel="0" collapsed="false">
      <c r="A18" s="12" t="s">
        <v>34</v>
      </c>
      <c r="B18" s="12" t="s">
        <v>37</v>
      </c>
      <c r="C18" s="12" t="n">
        <v>37</v>
      </c>
      <c r="D18" s="13" t="n">
        <f aca="false">C18/73</f>
        <v>0.506849315068493</v>
      </c>
    </row>
    <row r="19" customFormat="false" ht="15" hidden="false" customHeight="false" outlineLevel="0" collapsed="false">
      <c r="A19" s="12" t="s">
        <v>34</v>
      </c>
      <c r="B19" s="12" t="s">
        <v>38</v>
      </c>
      <c r="C19" s="12" t="n">
        <v>9</v>
      </c>
      <c r="D19" s="13" t="n">
        <f aca="false">C19/73</f>
        <v>0.123287671232877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5" min="3" style="0" width="1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0" t="s">
        <v>39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 t="s">
        <v>40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</row>
    <row r="4" customFormat="false" ht="15" hidden="false" customHeight="false" outlineLevel="0" collapsed="false">
      <c r="A4" s="12" t="s">
        <v>46</v>
      </c>
      <c r="B4" s="12" t="n">
        <v>73</v>
      </c>
      <c r="C4" s="14" t="n">
        <v>1</v>
      </c>
      <c r="D4" s="14" t="n">
        <v>5</v>
      </c>
      <c r="E4" s="14" t="n">
        <v>4.19</v>
      </c>
      <c r="F4" s="14" t="n">
        <v>0.67</v>
      </c>
    </row>
    <row r="5" customFormat="false" ht="15" hidden="false" customHeight="false" outlineLevel="0" collapsed="false">
      <c r="A5" s="12" t="s">
        <v>47</v>
      </c>
      <c r="B5" s="12" t="n">
        <v>73</v>
      </c>
      <c r="C5" s="14" t="n">
        <v>1</v>
      </c>
      <c r="D5" s="14" t="n">
        <v>5</v>
      </c>
      <c r="E5" s="14" t="n">
        <v>4.28</v>
      </c>
      <c r="F5" s="14" t="n">
        <v>0.61</v>
      </c>
    </row>
    <row r="6" customFormat="false" ht="15" hidden="false" customHeight="false" outlineLevel="0" collapsed="false">
      <c r="A6" s="12" t="s">
        <v>48</v>
      </c>
      <c r="B6" s="12" t="n">
        <v>73</v>
      </c>
      <c r="C6" s="14" t="n">
        <v>1</v>
      </c>
      <c r="D6" s="14" t="n">
        <v>5</v>
      </c>
      <c r="E6" s="14" t="n">
        <v>4.12</v>
      </c>
      <c r="F6" s="14" t="n">
        <v>0.72</v>
      </c>
    </row>
    <row r="7" customFormat="false" ht="15" hidden="false" customHeight="false" outlineLevel="0" collapsed="false">
      <c r="A7" s="12" t="s">
        <v>49</v>
      </c>
      <c r="B7" s="12" t="n">
        <v>73</v>
      </c>
      <c r="C7" s="14" t="n">
        <v>1</v>
      </c>
      <c r="D7" s="14" t="n">
        <v>5</v>
      </c>
      <c r="E7" s="14" t="n">
        <v>4.31</v>
      </c>
      <c r="F7" s="14" t="n">
        <v>0.59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10" t="s">
        <v>50</v>
      </c>
      <c r="B1" s="10"/>
      <c r="C1" s="10"/>
    </row>
    <row r="3" customFormat="false" ht="15" hidden="false" customHeight="false" outlineLevel="0" collapsed="false">
      <c r="A3" s="11" t="s">
        <v>40</v>
      </c>
      <c r="B3" s="11" t="s">
        <v>34</v>
      </c>
      <c r="C3" s="11" t="s">
        <v>51</v>
      </c>
    </row>
    <row r="4" customFormat="false" ht="15" hidden="false" customHeight="false" outlineLevel="0" collapsed="false">
      <c r="A4" s="12" t="s">
        <v>34</v>
      </c>
      <c r="B4" s="12" t="n">
        <v>1</v>
      </c>
      <c r="C4" s="12" t="s">
        <v>52</v>
      </c>
    </row>
    <row r="5" customFormat="false" ht="15" hidden="false" customHeight="false" outlineLevel="0" collapsed="false">
      <c r="A5" s="12" t="s">
        <v>51</v>
      </c>
      <c r="B5" s="15" t="n">
        <v>0.891</v>
      </c>
      <c r="C5" s="12" t="n">
        <v>1</v>
      </c>
    </row>
    <row r="7" customFormat="false" ht="15" hidden="false" customHeight="false" outlineLevel="0" collapsed="false">
      <c r="A7" s="9" t="s">
        <v>53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0" t="s">
        <v>54</v>
      </c>
      <c r="B1" s="10"/>
    </row>
    <row r="3" customFormat="false" ht="15" hidden="false" customHeight="false" outlineLevel="0" collapsed="false">
      <c r="A3" s="11" t="s">
        <v>55</v>
      </c>
      <c r="B3" s="11" t="s">
        <v>56</v>
      </c>
    </row>
    <row r="4" customFormat="false" ht="15" hidden="false" customHeight="false" outlineLevel="0" collapsed="false">
      <c r="A4" s="12" t="s">
        <v>57</v>
      </c>
      <c r="B4" s="16" t="n">
        <v>0.9649</v>
      </c>
    </row>
    <row r="5" customFormat="false" ht="15" hidden="false" customHeight="false" outlineLevel="0" collapsed="false">
      <c r="A5" s="12" t="s">
        <v>58</v>
      </c>
      <c r="B5" s="16" t="n">
        <v>0.931</v>
      </c>
    </row>
    <row r="6" customFormat="false" ht="15" hidden="false" customHeight="false" outlineLevel="0" collapsed="false">
      <c r="A6" s="12" t="s">
        <v>59</v>
      </c>
      <c r="B6" s="16" t="n">
        <v>0.9269</v>
      </c>
    </row>
    <row r="7" customFormat="false" ht="15" hidden="false" customHeight="false" outlineLevel="0" collapsed="false">
      <c r="A7" s="12" t="s">
        <v>60</v>
      </c>
      <c r="B7" s="16" t="n">
        <v>0.2028</v>
      </c>
    </row>
    <row r="8" customFormat="false" ht="15" hidden="false" customHeight="false" outlineLevel="0" collapsed="false">
      <c r="A8" s="12" t="s">
        <v>61</v>
      </c>
      <c r="B8" s="12" t="n">
        <v>73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0" t="s">
        <v>62</v>
      </c>
      <c r="B1" s="10"/>
      <c r="C1" s="10"/>
      <c r="D1" s="10"/>
      <c r="E1" s="10"/>
    </row>
    <row r="3" customFormat="false" ht="15" hidden="false" customHeight="false" outlineLevel="0" collapsed="false">
      <c r="A3" s="11" t="s">
        <v>63</v>
      </c>
      <c r="B3" s="11" t="s">
        <v>64</v>
      </c>
      <c r="C3" s="11" t="s">
        <v>65</v>
      </c>
      <c r="D3" s="11" t="s">
        <v>66</v>
      </c>
      <c r="E3" s="11" t="s">
        <v>67</v>
      </c>
    </row>
    <row r="4" customFormat="false" ht="15" hidden="false" customHeight="false" outlineLevel="0" collapsed="false">
      <c r="A4" s="12" t="s">
        <v>68</v>
      </c>
      <c r="B4" s="15" t="n">
        <v>-0.542</v>
      </c>
      <c r="C4" s="15" t="n">
        <v>0.238</v>
      </c>
      <c r="D4" s="15" t="n">
        <v>-2.279</v>
      </c>
      <c r="E4" s="15" t="n">
        <v>0.026</v>
      </c>
    </row>
    <row r="5" customFormat="false" ht="15" hidden="false" customHeight="false" outlineLevel="0" collapsed="false">
      <c r="A5" s="12" t="s">
        <v>46</v>
      </c>
      <c r="B5" s="15" t="n">
        <v>0.421</v>
      </c>
      <c r="C5" s="15" t="n">
        <v>0.064</v>
      </c>
      <c r="D5" s="15" t="n">
        <v>6.569</v>
      </c>
      <c r="E5" s="15" t="n">
        <v>0</v>
      </c>
    </row>
    <row r="6" customFormat="false" ht="15" hidden="false" customHeight="false" outlineLevel="0" collapsed="false">
      <c r="A6" s="12" t="s">
        <v>47</v>
      </c>
      <c r="B6" s="15" t="n">
        <v>0.665</v>
      </c>
      <c r="C6" s="15" t="n">
        <v>0.066</v>
      </c>
      <c r="D6" s="15" t="n">
        <v>10.061</v>
      </c>
      <c r="E6" s="15" t="n">
        <v>0</v>
      </c>
    </row>
    <row r="7" customFormat="false" ht="15" hidden="false" customHeight="false" outlineLevel="0" collapsed="false">
      <c r="A7" s="12" t="s">
        <v>48</v>
      </c>
      <c r="B7" s="15" t="n">
        <v>0.017</v>
      </c>
      <c r="C7" s="15" t="n">
        <v>0.05</v>
      </c>
      <c r="D7" s="15" t="n">
        <v>0.338</v>
      </c>
      <c r="E7" s="15" t="n">
        <v>0.736</v>
      </c>
    </row>
    <row r="8" customFormat="false" ht="15" hidden="false" customHeight="false" outlineLevel="0" collapsed="false">
      <c r="A8" s="12" t="s">
        <v>49</v>
      </c>
      <c r="B8" s="15" t="n">
        <v>0.002</v>
      </c>
      <c r="C8" s="15" t="n">
        <v>0.055</v>
      </c>
      <c r="D8" s="15" t="n">
        <v>0.032</v>
      </c>
      <c r="E8" s="15" t="n">
        <v>0.975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2026-09-16T06:50:56Z</dcterms:created>
  <dc:creator>openpyxl</dc:creator>
  <dc:description/>
  <dc:language>en-US</dc:language>
  <cp:lastModifiedBy/>
  <dcterms:modified xsi:type="dcterms:W3CDTF">2026-09-16T06:50:59Z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